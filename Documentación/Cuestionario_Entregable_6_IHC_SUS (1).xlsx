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282C9D0B-D01A-497F-B376-8D1CBD65E84F}" xr6:coauthVersionLast="47" xr6:coauthVersionMax="47" xr10:uidLastSave="{00000000-0000-0000-0000-000000000000}"/>
  <bookViews>
    <workbookView xWindow="-108" yWindow="-108" windowWidth="23256" windowHeight="12456" tabRatio="500" activeTab="1" xr2:uid="{00000000-000D-0000-FFFF-FFFF00000000}"/>
  </bookViews>
  <sheets>
    <sheet name="Respuestas de formulario 1" sheetId="1" r:id="rId1"/>
    <sheet name="Cálculo SUS"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1" i="2" l="1"/>
  <c r="A19" i="2"/>
  <c r="A18" i="2"/>
  <c r="A17" i="2"/>
  <c r="A16" i="2"/>
  <c r="A15" i="2"/>
  <c r="K10" i="2"/>
  <c r="K19" i="2" s="1"/>
  <c r="J10" i="2"/>
  <c r="J19" i="2" s="1"/>
  <c r="I10" i="2"/>
  <c r="I19" i="2" s="1"/>
  <c r="H10" i="2"/>
  <c r="H19" i="2" s="1"/>
  <c r="G10" i="2"/>
  <c r="G19" i="2" s="1"/>
  <c r="F10" i="2"/>
  <c r="F19" i="2" s="1"/>
  <c r="E10" i="2"/>
  <c r="E19" i="2" s="1"/>
  <c r="D10" i="2"/>
  <c r="D19" i="2" s="1"/>
  <c r="C10" i="2"/>
  <c r="C19" i="2" s="1"/>
  <c r="B10" i="2"/>
  <c r="B19" i="2" s="1"/>
  <c r="L19" i="2" s="1"/>
  <c r="M19" i="2" s="1"/>
  <c r="K9" i="2"/>
  <c r="K18" i="2" s="1"/>
  <c r="J9" i="2"/>
  <c r="J18" i="2" s="1"/>
  <c r="I9" i="2"/>
  <c r="I18" i="2" s="1"/>
  <c r="H9" i="2"/>
  <c r="H18" i="2" s="1"/>
  <c r="G9" i="2"/>
  <c r="G18" i="2" s="1"/>
  <c r="F9" i="2"/>
  <c r="F18" i="2" s="1"/>
  <c r="E9" i="2"/>
  <c r="E18" i="2" s="1"/>
  <c r="D9" i="2"/>
  <c r="D18" i="2" s="1"/>
  <c r="C9" i="2"/>
  <c r="C18" i="2" s="1"/>
  <c r="B9" i="2"/>
  <c r="B18" i="2" s="1"/>
  <c r="K8" i="2"/>
  <c r="K17" i="2" s="1"/>
  <c r="J8" i="2"/>
  <c r="J17" i="2" s="1"/>
  <c r="I8" i="2"/>
  <c r="I17" i="2" s="1"/>
  <c r="H8" i="2"/>
  <c r="H17" i="2" s="1"/>
  <c r="G8" i="2"/>
  <c r="G17" i="2" s="1"/>
  <c r="F8" i="2"/>
  <c r="F17" i="2" s="1"/>
  <c r="E8" i="2"/>
  <c r="E17" i="2" s="1"/>
  <c r="D8" i="2"/>
  <c r="D17" i="2" s="1"/>
  <c r="C8" i="2"/>
  <c r="C17" i="2" s="1"/>
  <c r="B8" i="2"/>
  <c r="B17" i="2" s="1"/>
  <c r="K7" i="2"/>
  <c r="K16" i="2" s="1"/>
  <c r="J7" i="2"/>
  <c r="J16" i="2" s="1"/>
  <c r="I7" i="2"/>
  <c r="I16" i="2" s="1"/>
  <c r="H7" i="2"/>
  <c r="H16" i="2" s="1"/>
  <c r="G7" i="2"/>
  <c r="G16" i="2" s="1"/>
  <c r="F7" i="2"/>
  <c r="F16" i="2" s="1"/>
  <c r="E7" i="2"/>
  <c r="E16" i="2" s="1"/>
  <c r="D7" i="2"/>
  <c r="D16" i="2" s="1"/>
  <c r="C7" i="2"/>
  <c r="C16" i="2" s="1"/>
  <c r="B7" i="2"/>
  <c r="B16" i="2" s="1"/>
  <c r="K6" i="2"/>
  <c r="K15" i="2" s="1"/>
  <c r="K20" i="2" s="1"/>
  <c r="J6" i="2"/>
  <c r="J15" i="2" s="1"/>
  <c r="J20" i="2" s="1"/>
  <c r="I6" i="2"/>
  <c r="I15" i="2" s="1"/>
  <c r="H6" i="2"/>
  <c r="H15" i="2" s="1"/>
  <c r="G6" i="2"/>
  <c r="G15" i="2" s="1"/>
  <c r="F6" i="2"/>
  <c r="F15" i="2" s="1"/>
  <c r="E6" i="2"/>
  <c r="E15" i="2" s="1"/>
  <c r="D6" i="2"/>
  <c r="D15" i="2" s="1"/>
  <c r="C6" i="2"/>
  <c r="C15" i="2" s="1"/>
  <c r="C20" i="2" s="1"/>
  <c r="B6" i="2"/>
  <c r="B15" i="2" s="1"/>
  <c r="L15" i="2" l="1"/>
  <c r="B20" i="2"/>
  <c r="E20" i="2"/>
  <c r="L17" i="2"/>
  <c r="M17" i="2" s="1"/>
  <c r="L16" i="2"/>
  <c r="M16" i="2" s="1"/>
  <c r="F20" i="2"/>
  <c r="L18" i="2"/>
  <c r="M18" i="2" s="1"/>
  <c r="D20" i="2"/>
  <c r="G20" i="2"/>
  <c r="H20" i="2"/>
  <c r="I20" i="2"/>
  <c r="M15" i="2" l="1"/>
  <c r="L20" i="2"/>
  <c r="B24" i="2" l="1"/>
  <c r="B29" i="2" s="1"/>
  <c r="M20" i="2"/>
  <c r="B28" i="2"/>
  <c r="B27" i="2"/>
  <c r="B26" i="2"/>
  <c r="B25" i="2"/>
  <c r="B32" i="2" l="1"/>
  <c r="B30" i="2"/>
</calcChain>
</file>

<file path=xl/sharedStrings.xml><?xml version="1.0" encoding="utf-8"?>
<sst xmlns="http://schemas.openxmlformats.org/spreadsheetml/2006/main" count="121" uniqueCount="75">
  <si>
    <t>Marca temporal</t>
  </si>
  <si>
    <t>1. Me gustaría usar este sistema con frecuencia.</t>
  </si>
  <si>
    <t>2. El sistema es innecesariamente complejo.</t>
  </si>
  <si>
    <t>3. El sistema fue fácil de usar.</t>
  </si>
  <si>
    <t>4. Creo que necesitaría ayuda técnica para usar este sistema.</t>
  </si>
  <si>
    <t>5. Las funciones del sistema están bien integradas.</t>
  </si>
  <si>
    <t>6. El sistema presenta demasiada inconsistencia.</t>
  </si>
  <si>
    <t>7. La mayoría de las personas aprenderían a usar este sistema rápidamente.</t>
  </si>
  <si>
    <t>8. El sistema es engorroso de usar.</t>
  </si>
  <si>
    <t>9. Me sentí muy seguro usando el sistema.</t>
  </si>
  <si>
    <t>10. Necesité aprender muchas cosas antes de poder usar el sistema.</t>
  </si>
  <si>
    <t>11. Comentarios o consideraciones para mejorar</t>
  </si>
  <si>
    <t>5 - Totalmente de acuerdo</t>
  </si>
  <si>
    <t>1 - Totalmente en desacuerdo</t>
  </si>
  <si>
    <t>2 - En desacuerdo</t>
  </si>
  <si>
    <t xml:space="preserve">La mesa de dibujo me pareció muy chévere. Aunque sería genial que hubiera como un temporizador para que solo pudiera dibujar por un tiempo límite. También sería chévere que hubieran tipos de dibujo es decir que hubiera dibujo libre y otro fuera el recomendado por el juego para que los demás adivinen y que el juego permitiera identificar cuántas partidas ha ganado cada uno. En general la aplicación me parece muy intuitiva , chévere y de fácil uso. </t>
  </si>
  <si>
    <t>4 - De acuerdo</t>
  </si>
  <si>
    <t>3 - Neutro</t>
  </si>
  <si>
    <t>El problema principal es que los jugadores hardcodeados (sara,tomas,lucia), hace confusa la experiencia, me gustaria empezar una partida de cero para poder entender el juego</t>
  </si>
  <si>
    <t>Para la propuesta el componente estetico y funcional es muy importante por lo cual expandiria el sistema cosmeticamente, funcionalmente y agregaria mas minijuegos y formas de compartir espacios juntos pero la idea base es muy linda</t>
  </si>
  <si>
    <t>Cálculo del puntaje SUS (System Usability Scale)</t>
  </si>
  <si>
    <t>Método: ítems impares (1,3,5,7,9) → respuesta − 1; ítems pares (2,4,6,8,10) → 5 − respuesta; se suman las 10 contribuciones (0–40) y se multiplican por 2,5 → puntaje SUS (0–100).</t>
  </si>
  <si>
    <t>1. Respuestas convertidas a número (1 = Totalmente en desacuerdo … 5 = Totalmente de acuerdo)</t>
  </si>
  <si>
    <t>Participante</t>
  </si>
  <si>
    <t>P1</t>
  </si>
  <si>
    <t>P2</t>
  </si>
  <si>
    <t>P3</t>
  </si>
  <si>
    <t>P4</t>
  </si>
  <si>
    <t>P5</t>
  </si>
  <si>
    <t>P6</t>
  </si>
  <si>
    <t>P7</t>
  </si>
  <si>
    <t>P8</t>
  </si>
  <si>
    <t>P9</t>
  </si>
  <si>
    <t>P10</t>
  </si>
  <si>
    <t>Participante 1</t>
  </si>
  <si>
    <t>Participante 2</t>
  </si>
  <si>
    <t>Participante 3</t>
  </si>
  <si>
    <t>Participante 4</t>
  </si>
  <si>
    <t>Participante 5</t>
  </si>
  <si>
    <t>2. Contribución de cada ítem (0–4) y puntaje SUS por participante</t>
  </si>
  <si>
    <t>C1</t>
  </si>
  <si>
    <t>C2</t>
  </si>
  <si>
    <t>C3</t>
  </si>
  <si>
    <t>C4</t>
  </si>
  <si>
    <t>C5</t>
  </si>
  <si>
    <t>C6</t>
  </si>
  <si>
    <t>C7</t>
  </si>
  <si>
    <t>C8</t>
  </si>
  <si>
    <t>C9</t>
  </si>
  <si>
    <t>C10</t>
  </si>
  <si>
    <t>Suma (0–40)</t>
  </si>
  <si>
    <t>Puntaje SUS (0–100)</t>
  </si>
  <si>
    <t>Promedio por ítem</t>
  </si>
  <si>
    <t>3. Resultado SUS del sistema</t>
  </si>
  <si>
    <t>Desde (puntaje)</t>
  </si>
  <si>
    <t>Calificación adjetiva</t>
  </si>
  <si>
    <t>Número de respuestas</t>
  </si>
  <si>
    <t>Peor imaginable</t>
  </si>
  <si>
    <t>PUNTAJE SUS PROMEDIO</t>
  </si>
  <si>
    <t>Pobre</t>
  </si>
  <si>
    <t>Mediana</t>
  </si>
  <si>
    <t>Regular</t>
  </si>
  <si>
    <t>Mínimo</t>
  </si>
  <si>
    <t>Bueno</t>
  </si>
  <si>
    <t>Máximo</t>
  </si>
  <si>
    <t>Excelente</t>
  </si>
  <si>
    <t>Desviación estándar (muestral)</t>
  </si>
  <si>
    <t>Mejor imaginable</t>
  </si>
  <si>
    <t>Interpretación (calificación adjetiva)</t>
  </si>
  <si>
    <t>Rangos adjetivos según Bangor, Kortum &amp; Miller (2009).</t>
  </si>
  <si>
    <t>Referencia de la industria (promedio)</t>
  </si>
  <si>
    <t>Frente a la referencia</t>
  </si>
  <si>
    <t>Factor de escala SUS (parámetro)</t>
  </si>
  <si>
    <t>Referencia SUS promedio (parámetro)</t>
  </si>
  <si>
    <t>Valor de referencia ampliamente citado (Sauro, 2011); celdas azules = parámetros editables.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</si>
</sst>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0.0"/>
  </numFmts>
  <fonts count="10" x14ac:knownFonts="1">
    <font>
      <sz val="10"/>
      <color rgb="FF000000"/>
      <name val="Arial"/>
      <charset val="1"/>
    </font>
    <font>
      <sz val="11"/>
      <color theme="1"/>
      <name val="Arial"/>
      <charset val="1"/>
    </font>
    <font>
      <b/>
      <sz val="11"/>
      <color theme="1"/>
      <name val="Arial"/>
      <charset val="1"/>
    </font>
    <font>
      <b/>
      <sz val="14"/>
      <name val="Arial"/>
      <charset val="1"/>
    </font>
    <font>
      <i/>
      <sz val="10"/>
      <color rgb="FF595959"/>
      <name val="Arial"/>
      <charset val="1"/>
    </font>
    <font>
      <b/>
      <sz val="11"/>
      <name val="Arial"/>
      <charset val="1"/>
    </font>
    <font>
      <b/>
      <sz val="10"/>
      <color rgb="FFFFFFFF"/>
      <name val="Arial"/>
      <charset val="1"/>
    </font>
    <font>
      <b/>
      <sz val="10"/>
      <name val="Arial"/>
      <charset val="1"/>
    </font>
    <font>
      <sz val="10"/>
      <color rgb="FF0000FF"/>
      <name val="Arial"/>
      <charset val="1"/>
    </font>
    <font>
      <b/>
      <sz val="12"/>
      <name val="Arial"/>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1F2"/>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0" fillId="0" borderId="1" xfId="0" applyFont="1" applyBorder="1"/>
    <xf numFmtId="1" fontId="0" fillId="0" borderId="1" xfId="0" applyNumberFormat="1" applyBorder="1" applyAlignment="1">
      <alignment horizontal="center" vertical="center" wrapText="1"/>
    </xf>
    <xf numFmtId="165" fontId="7" fillId="3" borderId="1" xfId="0" applyNumberFormat="1" applyFont="1" applyFill="1" applyBorder="1" applyAlignment="1">
      <alignment horizontal="center" vertical="center" wrapText="1"/>
    </xf>
    <xf numFmtId="0" fontId="7" fillId="4" borderId="1" xfId="0" applyFont="1" applyFill="1" applyBorder="1"/>
    <xf numFmtId="2" fontId="7" fillId="4" borderId="1" xfId="0" applyNumberFormat="1" applyFont="1" applyFill="1" applyBorder="1" applyAlignment="1">
      <alignment horizontal="center" vertical="center" wrapText="1"/>
    </xf>
    <xf numFmtId="165" fontId="7" fillId="4" borderId="1" xfId="0" applyNumberFormat="1" applyFont="1" applyFill="1" applyBorder="1" applyAlignment="1">
      <alignment horizontal="center" vertical="center" wrapText="1"/>
    </xf>
    <xf numFmtId="1" fontId="0" fillId="0" borderId="1" xfId="0" applyNumberFormat="1" applyBorder="1" applyAlignment="1">
      <alignment horizontal="center"/>
    </xf>
    <xf numFmtId="0" fontId="8" fillId="0" borderId="1" xfId="0" applyFont="1" applyBorder="1" applyAlignment="1">
      <alignment horizontal="center"/>
    </xf>
    <xf numFmtId="0" fontId="7" fillId="3" borderId="1" xfId="0" applyFont="1" applyFill="1" applyBorder="1"/>
    <xf numFmtId="165" fontId="9" fillId="3" borderId="1" xfId="0" applyNumberFormat="1" applyFont="1" applyFill="1" applyBorder="1" applyAlignment="1">
      <alignment horizontal="center"/>
    </xf>
    <xf numFmtId="165" fontId="0" fillId="0" borderId="1" xfId="0" applyNumberFormat="1" applyBorder="1" applyAlignment="1">
      <alignment horizontal="center"/>
    </xf>
    <xf numFmtId="0" fontId="7" fillId="0" borderId="1" xfId="0" applyFont="1" applyBorder="1" applyAlignment="1">
      <alignment horizontal="left"/>
    </xf>
    <xf numFmtId="0" fontId="0" fillId="0" borderId="1" xfId="0" applyBorder="1" applyAlignment="1">
      <alignment horizontal="center"/>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L6" totalsRowShown="0">
  <tableColumns count="12">
    <tableColumn id="1" xr3:uid="{00000000-0010-0000-0000-000001000000}" name="Marca temporal"/>
    <tableColumn id="2" xr3:uid="{00000000-0010-0000-0000-000002000000}" name="1. Me gustaría usar este sistema con frecuencia."/>
    <tableColumn id="3" xr3:uid="{00000000-0010-0000-0000-000003000000}" name="2. El sistema es innecesariamente complejo."/>
    <tableColumn id="4" xr3:uid="{00000000-0010-0000-0000-000004000000}" name="3. El sistema fue fácil de usar."/>
    <tableColumn id="5" xr3:uid="{00000000-0010-0000-0000-000005000000}" name="4. Creo que necesitaría ayuda técnica para usar este sistema."/>
    <tableColumn id="6" xr3:uid="{00000000-0010-0000-0000-000006000000}" name="5. Las funciones del sistema están bien integradas."/>
    <tableColumn id="7" xr3:uid="{00000000-0010-0000-0000-000007000000}" name="6. El sistema presenta demasiada inconsistencia."/>
    <tableColumn id="8" xr3:uid="{00000000-0010-0000-0000-000008000000}" name="7. La mayoría de las personas aprenderían a usar este sistema rápidamente."/>
    <tableColumn id="9" xr3:uid="{00000000-0010-0000-0000-000009000000}" name="8. El sistema es engorroso de usar."/>
    <tableColumn id="10" xr3:uid="{00000000-0010-0000-0000-00000A000000}" name="9. Me sentí muy seguro usando el sistema."/>
    <tableColumn id="11" xr3:uid="{00000000-0010-0000-0000-00000B000000}" name="10. Necesité aprender muchas cosas antes de poder usar el sistema."/>
    <tableColumn id="12" xr3:uid="{00000000-0010-0000-0000-00000C000000}" name="11. Comentarios o consideraciones para mejorar"/>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
  <sheetViews>
    <sheetView topLeftCell="H1" zoomScaleNormal="100" workbookViewId="0">
      <pane ySplit="1" topLeftCell="A2" activePane="bottomLeft" state="frozen"/>
      <selection pane="bottomLeft" activeCell="L6" sqref="L6"/>
    </sheetView>
  </sheetViews>
  <sheetFormatPr baseColWidth="10" defaultColWidth="12.6640625" defaultRowHeight="13.2" x14ac:dyDescent="0.25"/>
  <cols>
    <col min="1" max="1" width="19.44140625" bestFit="1" customWidth="1"/>
    <col min="2" max="3" width="37.6640625" customWidth="1"/>
    <col min="4" max="4" width="28.21875" customWidth="1"/>
    <col min="5" max="8" width="37.6640625" customWidth="1"/>
    <col min="9" max="9" width="32.109375" customWidth="1"/>
    <col min="10" max="12" width="37.6640625" customWidth="1"/>
    <col min="13" max="18" width="18.88671875" customWidth="1"/>
  </cols>
  <sheetData>
    <row r="1" spans="1:12" ht="22.5" customHeight="1" x14ac:dyDescent="0.25">
      <c r="A1" s="1" t="s">
        <v>0</v>
      </c>
      <c r="B1" s="2" t="s">
        <v>1</v>
      </c>
      <c r="C1" s="2" t="s">
        <v>2</v>
      </c>
      <c r="D1" s="2" t="s">
        <v>3</v>
      </c>
      <c r="E1" s="2" t="s">
        <v>4</v>
      </c>
      <c r="F1" s="2" t="s">
        <v>5</v>
      </c>
      <c r="G1" s="2" t="s">
        <v>6</v>
      </c>
      <c r="H1" s="2" t="s">
        <v>7</v>
      </c>
      <c r="I1" s="2" t="s">
        <v>8</v>
      </c>
      <c r="J1" s="2" t="s">
        <v>9</v>
      </c>
      <c r="K1" s="2" t="s">
        <v>10</v>
      </c>
      <c r="L1" s="2" t="s">
        <v>11</v>
      </c>
    </row>
    <row r="2" spans="1:12" ht="22.5" customHeight="1" x14ac:dyDescent="0.25">
      <c r="A2" s="3">
        <v>46303.847409456001</v>
      </c>
      <c r="B2" s="4" t="s">
        <v>12</v>
      </c>
      <c r="C2" s="4" t="s">
        <v>13</v>
      </c>
      <c r="D2" s="4" t="s">
        <v>12</v>
      </c>
      <c r="E2" s="4" t="s">
        <v>14</v>
      </c>
      <c r="F2" s="4" t="s">
        <v>12</v>
      </c>
      <c r="G2" s="4" t="s">
        <v>14</v>
      </c>
      <c r="H2" s="4" t="s">
        <v>12</v>
      </c>
      <c r="I2" s="4" t="s">
        <v>13</v>
      </c>
      <c r="J2" s="4" t="s">
        <v>12</v>
      </c>
      <c r="K2" s="4" t="s">
        <v>13</v>
      </c>
      <c r="L2" s="4" t="s">
        <v>15</v>
      </c>
    </row>
    <row r="3" spans="1:12" ht="22.5" customHeight="1" x14ac:dyDescent="0.25">
      <c r="A3" s="3">
        <v>46303.996522789399</v>
      </c>
      <c r="B3" s="4" t="s">
        <v>14</v>
      </c>
      <c r="C3" s="4" t="s">
        <v>16</v>
      </c>
      <c r="D3" s="4" t="s">
        <v>13</v>
      </c>
      <c r="E3" s="4" t="s">
        <v>17</v>
      </c>
      <c r="F3" s="4" t="s">
        <v>17</v>
      </c>
      <c r="G3" s="4" t="s">
        <v>16</v>
      </c>
      <c r="H3" s="4" t="s">
        <v>13</v>
      </c>
      <c r="I3" s="4" t="s">
        <v>12</v>
      </c>
      <c r="J3" s="4" t="s">
        <v>12</v>
      </c>
      <c r="K3" s="4" t="s">
        <v>17</v>
      </c>
      <c r="L3" s="4" t="s">
        <v>18</v>
      </c>
    </row>
    <row r="4" spans="1:12" ht="22.5" customHeight="1" x14ac:dyDescent="0.25">
      <c r="A4" s="3">
        <v>46304.673579247697</v>
      </c>
      <c r="B4" s="4" t="s">
        <v>16</v>
      </c>
      <c r="C4" s="4" t="s">
        <v>14</v>
      </c>
      <c r="D4" s="4" t="s">
        <v>16</v>
      </c>
      <c r="E4" s="4" t="s">
        <v>17</v>
      </c>
      <c r="F4" s="4" t="s">
        <v>16</v>
      </c>
      <c r="G4" s="4" t="s">
        <v>14</v>
      </c>
      <c r="H4" s="4" t="s">
        <v>16</v>
      </c>
      <c r="I4" s="4" t="s">
        <v>14</v>
      </c>
      <c r="J4" s="4" t="s">
        <v>16</v>
      </c>
      <c r="K4" s="4" t="s">
        <v>17</v>
      </c>
    </row>
    <row r="5" spans="1:12" ht="22.5" customHeight="1" x14ac:dyDescent="0.25">
      <c r="A5" s="3">
        <v>46306.5723285532</v>
      </c>
      <c r="B5" s="4" t="s">
        <v>12</v>
      </c>
      <c r="C5" s="4" t="s">
        <v>13</v>
      </c>
      <c r="D5" s="4" t="s">
        <v>12</v>
      </c>
      <c r="E5" s="4" t="s">
        <v>14</v>
      </c>
      <c r="F5" s="4" t="s">
        <v>12</v>
      </c>
      <c r="G5" s="4" t="s">
        <v>13</v>
      </c>
      <c r="H5" s="4" t="s">
        <v>12</v>
      </c>
      <c r="I5" s="4" t="s">
        <v>13</v>
      </c>
      <c r="J5" s="4" t="s">
        <v>12</v>
      </c>
      <c r="K5" s="4" t="s">
        <v>13</v>
      </c>
    </row>
    <row r="6" spans="1:12" ht="22.5" customHeight="1" x14ac:dyDescent="0.25">
      <c r="A6" s="3">
        <v>46307.696108946802</v>
      </c>
      <c r="B6" s="4" t="s">
        <v>16</v>
      </c>
      <c r="C6" s="4" t="s">
        <v>14</v>
      </c>
      <c r="D6" s="4" t="s">
        <v>12</v>
      </c>
      <c r="E6" s="4" t="s">
        <v>13</v>
      </c>
      <c r="F6" s="4" t="s">
        <v>16</v>
      </c>
      <c r="G6" s="4" t="s">
        <v>13</v>
      </c>
      <c r="H6" s="4" t="s">
        <v>12</v>
      </c>
      <c r="I6" s="4" t="s">
        <v>13</v>
      </c>
      <c r="J6" s="4" t="s">
        <v>12</v>
      </c>
      <c r="K6" s="4" t="s">
        <v>13</v>
      </c>
      <c r="L6" s="4" t="s">
        <v>19</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
  <sheetViews>
    <sheetView showGridLines="0" tabSelected="1" zoomScaleNormal="100" workbookViewId="0"/>
  </sheetViews>
  <sheetFormatPr baseColWidth="10" defaultColWidth="8.6640625" defaultRowHeight="13.2" x14ac:dyDescent="0.25"/>
  <cols>
    <col min="1" max="1" width="38" customWidth="1"/>
    <col min="2" max="4" width="9" customWidth="1"/>
    <col min="5" max="5" width="15" customWidth="1"/>
    <col min="6" max="6" width="22" customWidth="1"/>
    <col min="7" max="11" width="9" customWidth="1"/>
    <col min="12" max="12" width="13" customWidth="1"/>
    <col min="13" max="13" width="20" customWidth="1"/>
  </cols>
  <sheetData>
    <row r="1" spans="1:13" ht="17.399999999999999" x14ac:dyDescent="0.3">
      <c r="A1" s="5" t="s">
        <v>20</v>
      </c>
    </row>
    <row r="2" spans="1:13" x14ac:dyDescent="0.25">
      <c r="A2" s="6" t="s">
        <v>21</v>
      </c>
    </row>
    <row r="4" spans="1:13" ht="13.8" x14ac:dyDescent="0.25">
      <c r="A4" s="7" t="s">
        <v>22</v>
      </c>
    </row>
    <row r="5" spans="1:13" x14ac:dyDescent="0.25">
      <c r="A5" s="8" t="s">
        <v>23</v>
      </c>
      <c r="B5" s="8" t="s">
        <v>24</v>
      </c>
      <c r="C5" s="8" t="s">
        <v>25</v>
      </c>
      <c r="D5" s="8" t="s">
        <v>26</v>
      </c>
      <c r="E5" s="8" t="s">
        <v>27</v>
      </c>
      <c r="F5" s="8" t="s">
        <v>28</v>
      </c>
      <c r="G5" s="8" t="s">
        <v>29</v>
      </c>
      <c r="H5" s="8" t="s">
        <v>30</v>
      </c>
      <c r="I5" s="8" t="s">
        <v>31</v>
      </c>
      <c r="J5" s="8" t="s">
        <v>32</v>
      </c>
      <c r="K5" s="8" t="s">
        <v>33</v>
      </c>
    </row>
    <row r="6" spans="1:13" x14ac:dyDescent="0.25">
      <c r="A6" s="9" t="s">
        <v>34</v>
      </c>
      <c r="B6" s="10">
        <f>VALUE(LEFT('Respuestas de formulario 1'!B2,1))</f>
        <v>5</v>
      </c>
      <c r="C6" s="10">
        <f>VALUE(LEFT('Respuestas de formulario 1'!C2,1))</f>
        <v>1</v>
      </c>
      <c r="D6" s="10">
        <f>VALUE(LEFT('Respuestas de formulario 1'!D2,1))</f>
        <v>5</v>
      </c>
      <c r="E6" s="10">
        <f>VALUE(LEFT('Respuestas de formulario 1'!E2,1))</f>
        <v>2</v>
      </c>
      <c r="F6" s="10">
        <f>VALUE(LEFT('Respuestas de formulario 1'!F2,1))</f>
        <v>5</v>
      </c>
      <c r="G6" s="10">
        <f>VALUE(LEFT('Respuestas de formulario 1'!G2,1))</f>
        <v>2</v>
      </c>
      <c r="H6" s="10">
        <f>VALUE(LEFT('Respuestas de formulario 1'!H2,1))</f>
        <v>5</v>
      </c>
      <c r="I6" s="10">
        <f>VALUE(LEFT('Respuestas de formulario 1'!I2,1))</f>
        <v>1</v>
      </c>
      <c r="J6" s="10">
        <f>VALUE(LEFT('Respuestas de formulario 1'!J2,1))</f>
        <v>5</v>
      </c>
      <c r="K6" s="10">
        <f>VALUE(LEFT('Respuestas de formulario 1'!K2,1))</f>
        <v>1</v>
      </c>
    </row>
    <row r="7" spans="1:13" x14ac:dyDescent="0.25">
      <c r="A7" s="9" t="s">
        <v>35</v>
      </c>
      <c r="B7" s="10">
        <f>VALUE(LEFT('Respuestas de formulario 1'!B3,1))</f>
        <v>2</v>
      </c>
      <c r="C7" s="10">
        <f>VALUE(LEFT('Respuestas de formulario 1'!C3,1))</f>
        <v>4</v>
      </c>
      <c r="D7" s="10">
        <f>VALUE(LEFT('Respuestas de formulario 1'!D3,1))</f>
        <v>1</v>
      </c>
      <c r="E7" s="10">
        <f>VALUE(LEFT('Respuestas de formulario 1'!E3,1))</f>
        <v>3</v>
      </c>
      <c r="F7" s="10">
        <f>VALUE(LEFT('Respuestas de formulario 1'!F3,1))</f>
        <v>3</v>
      </c>
      <c r="G7" s="10">
        <f>VALUE(LEFT('Respuestas de formulario 1'!G3,1))</f>
        <v>4</v>
      </c>
      <c r="H7" s="10">
        <f>VALUE(LEFT('Respuestas de formulario 1'!H3,1))</f>
        <v>1</v>
      </c>
      <c r="I7" s="10">
        <f>VALUE(LEFT('Respuestas de formulario 1'!I3,1))</f>
        <v>5</v>
      </c>
      <c r="J7" s="10">
        <f>VALUE(LEFT('Respuestas de formulario 1'!J3,1))</f>
        <v>5</v>
      </c>
      <c r="K7" s="10">
        <f>VALUE(LEFT('Respuestas de formulario 1'!K3,1))</f>
        <v>3</v>
      </c>
    </row>
    <row r="8" spans="1:13" x14ac:dyDescent="0.25">
      <c r="A8" s="9" t="s">
        <v>36</v>
      </c>
      <c r="B8" s="10">
        <f>VALUE(LEFT('Respuestas de formulario 1'!B4,1))</f>
        <v>4</v>
      </c>
      <c r="C8" s="10">
        <f>VALUE(LEFT('Respuestas de formulario 1'!C4,1))</f>
        <v>2</v>
      </c>
      <c r="D8" s="10">
        <f>VALUE(LEFT('Respuestas de formulario 1'!D4,1))</f>
        <v>4</v>
      </c>
      <c r="E8" s="10">
        <f>VALUE(LEFT('Respuestas de formulario 1'!E4,1))</f>
        <v>3</v>
      </c>
      <c r="F8" s="10">
        <f>VALUE(LEFT('Respuestas de formulario 1'!F4,1))</f>
        <v>4</v>
      </c>
      <c r="G8" s="10">
        <f>VALUE(LEFT('Respuestas de formulario 1'!G4,1))</f>
        <v>2</v>
      </c>
      <c r="H8" s="10">
        <f>VALUE(LEFT('Respuestas de formulario 1'!H4,1))</f>
        <v>4</v>
      </c>
      <c r="I8" s="10">
        <f>VALUE(LEFT('Respuestas de formulario 1'!I4,1))</f>
        <v>2</v>
      </c>
      <c r="J8" s="10">
        <f>VALUE(LEFT('Respuestas de formulario 1'!J4,1))</f>
        <v>4</v>
      </c>
      <c r="K8" s="10">
        <f>VALUE(LEFT('Respuestas de formulario 1'!K4,1))</f>
        <v>3</v>
      </c>
    </row>
    <row r="9" spans="1:13" x14ac:dyDescent="0.25">
      <c r="A9" s="9" t="s">
        <v>37</v>
      </c>
      <c r="B9" s="10">
        <f>VALUE(LEFT('Respuestas de formulario 1'!B5,1))</f>
        <v>5</v>
      </c>
      <c r="C9" s="10">
        <f>VALUE(LEFT('Respuestas de formulario 1'!C5,1))</f>
        <v>1</v>
      </c>
      <c r="D9" s="10">
        <f>VALUE(LEFT('Respuestas de formulario 1'!D5,1))</f>
        <v>5</v>
      </c>
      <c r="E9" s="10">
        <f>VALUE(LEFT('Respuestas de formulario 1'!E5,1))</f>
        <v>2</v>
      </c>
      <c r="F9" s="10">
        <f>VALUE(LEFT('Respuestas de formulario 1'!F5,1))</f>
        <v>5</v>
      </c>
      <c r="G9" s="10">
        <f>VALUE(LEFT('Respuestas de formulario 1'!G5,1))</f>
        <v>1</v>
      </c>
      <c r="H9" s="10">
        <f>VALUE(LEFT('Respuestas de formulario 1'!H5,1))</f>
        <v>5</v>
      </c>
      <c r="I9" s="10">
        <f>VALUE(LEFT('Respuestas de formulario 1'!I5,1))</f>
        <v>1</v>
      </c>
      <c r="J9" s="10">
        <f>VALUE(LEFT('Respuestas de formulario 1'!J5,1))</f>
        <v>5</v>
      </c>
      <c r="K9" s="10">
        <f>VALUE(LEFT('Respuestas de formulario 1'!K5,1))</f>
        <v>1</v>
      </c>
    </row>
    <row r="10" spans="1:13" x14ac:dyDescent="0.25">
      <c r="A10" s="9" t="s">
        <v>38</v>
      </c>
      <c r="B10" s="10">
        <f>VALUE(LEFT('Respuestas de formulario 1'!B6,1))</f>
        <v>4</v>
      </c>
      <c r="C10" s="10">
        <f>VALUE(LEFT('Respuestas de formulario 1'!C6,1))</f>
        <v>2</v>
      </c>
      <c r="D10" s="10">
        <f>VALUE(LEFT('Respuestas de formulario 1'!D6,1))</f>
        <v>5</v>
      </c>
      <c r="E10" s="10">
        <f>VALUE(LEFT('Respuestas de formulario 1'!E6,1))</f>
        <v>1</v>
      </c>
      <c r="F10" s="10">
        <f>VALUE(LEFT('Respuestas de formulario 1'!F6,1))</f>
        <v>4</v>
      </c>
      <c r="G10" s="10">
        <f>VALUE(LEFT('Respuestas de formulario 1'!G6,1))</f>
        <v>1</v>
      </c>
      <c r="H10" s="10">
        <f>VALUE(LEFT('Respuestas de formulario 1'!H6,1))</f>
        <v>5</v>
      </c>
      <c r="I10" s="10">
        <f>VALUE(LEFT('Respuestas de formulario 1'!I6,1))</f>
        <v>1</v>
      </c>
      <c r="J10" s="10">
        <f>VALUE(LEFT('Respuestas de formulario 1'!J6,1))</f>
        <v>5</v>
      </c>
      <c r="K10" s="10">
        <f>VALUE(LEFT('Respuestas de formulario 1'!K6,1))</f>
        <v>1</v>
      </c>
    </row>
    <row r="13" spans="1:13" ht="13.8" x14ac:dyDescent="0.25">
      <c r="A13" s="7" t="s">
        <v>39</v>
      </c>
    </row>
    <row r="14" spans="1:13" ht="30" customHeight="1" x14ac:dyDescent="0.25">
      <c r="A14" s="8" t="s">
        <v>23</v>
      </c>
      <c r="B14" s="8" t="s">
        <v>40</v>
      </c>
      <c r="C14" s="8" t="s">
        <v>41</v>
      </c>
      <c r="D14" s="8" t="s">
        <v>42</v>
      </c>
      <c r="E14" s="8" t="s">
        <v>43</v>
      </c>
      <c r="F14" s="8" t="s">
        <v>44</v>
      </c>
      <c r="G14" s="8" t="s">
        <v>45</v>
      </c>
      <c r="H14" s="8" t="s">
        <v>46</v>
      </c>
      <c r="I14" s="8" t="s">
        <v>47</v>
      </c>
      <c r="J14" s="8" t="s">
        <v>48</v>
      </c>
      <c r="K14" s="8" t="s">
        <v>49</v>
      </c>
      <c r="L14" s="8" t="s">
        <v>50</v>
      </c>
      <c r="M14" s="8" t="s">
        <v>51</v>
      </c>
    </row>
    <row r="15" spans="1:13" x14ac:dyDescent="0.25">
      <c r="A15" s="9" t="str">
        <f>A6</f>
        <v>Participante 1</v>
      </c>
      <c r="B15" s="10">
        <f>B6-1</f>
        <v>4</v>
      </c>
      <c r="C15" s="10">
        <f>5-C6</f>
        <v>4</v>
      </c>
      <c r="D15" s="10">
        <f>D6-1</f>
        <v>4</v>
      </c>
      <c r="E15" s="10">
        <f>5-E6</f>
        <v>3</v>
      </c>
      <c r="F15" s="10">
        <f>F6-1</f>
        <v>4</v>
      </c>
      <c r="G15" s="10">
        <f>5-G6</f>
        <v>3</v>
      </c>
      <c r="H15" s="10">
        <f>H6-1</f>
        <v>4</v>
      </c>
      <c r="I15" s="10">
        <f>5-I6</f>
        <v>4</v>
      </c>
      <c r="J15" s="10">
        <f>J6-1</f>
        <v>4</v>
      </c>
      <c r="K15" s="10">
        <f>5-K6</f>
        <v>4</v>
      </c>
      <c r="L15" s="10">
        <f>SUM(B15:K15)</f>
        <v>38</v>
      </c>
      <c r="M15" s="11">
        <f>L15*$B$33</f>
        <v>95</v>
      </c>
    </row>
    <row r="16" spans="1:13" x14ac:dyDescent="0.25">
      <c r="A16" s="9" t="str">
        <f>A7</f>
        <v>Participante 2</v>
      </c>
      <c r="B16" s="10">
        <f>B7-1</f>
        <v>1</v>
      </c>
      <c r="C16" s="10">
        <f>5-C7</f>
        <v>1</v>
      </c>
      <c r="D16" s="10">
        <f>D7-1</f>
        <v>0</v>
      </c>
      <c r="E16" s="10">
        <f>5-E7</f>
        <v>2</v>
      </c>
      <c r="F16" s="10">
        <f>F7-1</f>
        <v>2</v>
      </c>
      <c r="G16" s="10">
        <f>5-G7</f>
        <v>1</v>
      </c>
      <c r="H16" s="10">
        <f>H7-1</f>
        <v>0</v>
      </c>
      <c r="I16" s="10">
        <f>5-I7</f>
        <v>0</v>
      </c>
      <c r="J16" s="10">
        <f>J7-1</f>
        <v>4</v>
      </c>
      <c r="K16" s="10">
        <f>5-K7</f>
        <v>2</v>
      </c>
      <c r="L16" s="10">
        <f>SUM(B16:K16)</f>
        <v>13</v>
      </c>
      <c r="M16" s="11">
        <f>L16*$B$33</f>
        <v>32.5</v>
      </c>
    </row>
    <row r="17" spans="1:13" x14ac:dyDescent="0.25">
      <c r="A17" s="9" t="str">
        <f>A8</f>
        <v>Participante 3</v>
      </c>
      <c r="B17" s="10">
        <f>B8-1</f>
        <v>3</v>
      </c>
      <c r="C17" s="10">
        <f>5-C8</f>
        <v>3</v>
      </c>
      <c r="D17" s="10">
        <f>D8-1</f>
        <v>3</v>
      </c>
      <c r="E17" s="10">
        <f>5-E8</f>
        <v>2</v>
      </c>
      <c r="F17" s="10">
        <f>F8-1</f>
        <v>3</v>
      </c>
      <c r="G17" s="10">
        <f>5-G8</f>
        <v>3</v>
      </c>
      <c r="H17" s="10">
        <f>H8-1</f>
        <v>3</v>
      </c>
      <c r="I17" s="10">
        <f>5-I8</f>
        <v>3</v>
      </c>
      <c r="J17" s="10">
        <f>J8-1</f>
        <v>3</v>
      </c>
      <c r="K17" s="10">
        <f>5-K8</f>
        <v>2</v>
      </c>
      <c r="L17" s="10">
        <f>SUM(B17:K17)</f>
        <v>28</v>
      </c>
      <c r="M17" s="11">
        <f>L17*$B$33</f>
        <v>70</v>
      </c>
    </row>
    <row r="18" spans="1:13" x14ac:dyDescent="0.25">
      <c r="A18" s="9" t="str">
        <f>A9</f>
        <v>Participante 4</v>
      </c>
      <c r="B18" s="10">
        <f>B9-1</f>
        <v>4</v>
      </c>
      <c r="C18" s="10">
        <f>5-C9</f>
        <v>4</v>
      </c>
      <c r="D18" s="10">
        <f>D9-1</f>
        <v>4</v>
      </c>
      <c r="E18" s="10">
        <f>5-E9</f>
        <v>3</v>
      </c>
      <c r="F18" s="10">
        <f>F9-1</f>
        <v>4</v>
      </c>
      <c r="G18" s="10">
        <f>5-G9</f>
        <v>4</v>
      </c>
      <c r="H18" s="10">
        <f>H9-1</f>
        <v>4</v>
      </c>
      <c r="I18" s="10">
        <f>5-I9</f>
        <v>4</v>
      </c>
      <c r="J18" s="10">
        <f>J9-1</f>
        <v>4</v>
      </c>
      <c r="K18" s="10">
        <f>5-K9</f>
        <v>4</v>
      </c>
      <c r="L18" s="10">
        <f>SUM(B18:K18)</f>
        <v>39</v>
      </c>
      <c r="M18" s="11">
        <f>L18*$B$33</f>
        <v>97.5</v>
      </c>
    </row>
    <row r="19" spans="1:13" x14ac:dyDescent="0.25">
      <c r="A19" s="9" t="str">
        <f>A10</f>
        <v>Participante 5</v>
      </c>
      <c r="B19" s="10">
        <f>B10-1</f>
        <v>3</v>
      </c>
      <c r="C19" s="10">
        <f>5-C10</f>
        <v>3</v>
      </c>
      <c r="D19" s="10">
        <f>D10-1</f>
        <v>4</v>
      </c>
      <c r="E19" s="10">
        <f>5-E10</f>
        <v>4</v>
      </c>
      <c r="F19" s="10">
        <f>F10-1</f>
        <v>3</v>
      </c>
      <c r="G19" s="10">
        <f>5-G10</f>
        <v>4</v>
      </c>
      <c r="H19" s="10">
        <f>H10-1</f>
        <v>4</v>
      </c>
      <c r="I19" s="10">
        <f>5-I10</f>
        <v>4</v>
      </c>
      <c r="J19" s="10">
        <f>J10-1</f>
        <v>4</v>
      </c>
      <c r="K19" s="10">
        <f>5-K10</f>
        <v>4</v>
      </c>
      <c r="L19" s="10">
        <f>SUM(B19:K19)</f>
        <v>37</v>
      </c>
      <c r="M19" s="11">
        <f>L19*$B$33</f>
        <v>92.5</v>
      </c>
    </row>
    <row r="20" spans="1:13" x14ac:dyDescent="0.25">
      <c r="A20" s="12" t="s">
        <v>52</v>
      </c>
      <c r="B20" s="13">
        <f t="shared" ref="B20:M20" si="0">AVERAGE(B15:B19)</f>
        <v>3</v>
      </c>
      <c r="C20" s="13">
        <f t="shared" si="0"/>
        <v>3</v>
      </c>
      <c r="D20" s="13">
        <f t="shared" si="0"/>
        <v>3</v>
      </c>
      <c r="E20" s="13">
        <f t="shared" si="0"/>
        <v>2.8</v>
      </c>
      <c r="F20" s="13">
        <f t="shared" si="0"/>
        <v>3.2</v>
      </c>
      <c r="G20" s="13">
        <f t="shared" si="0"/>
        <v>3</v>
      </c>
      <c r="H20" s="13">
        <f t="shared" si="0"/>
        <v>3</v>
      </c>
      <c r="I20" s="13">
        <f t="shared" si="0"/>
        <v>3</v>
      </c>
      <c r="J20" s="13">
        <f t="shared" si="0"/>
        <v>3.8</v>
      </c>
      <c r="K20" s="13">
        <f t="shared" si="0"/>
        <v>3.2</v>
      </c>
      <c r="L20" s="13">
        <f t="shared" si="0"/>
        <v>31</v>
      </c>
      <c r="M20" s="14">
        <f t="shared" si="0"/>
        <v>77.5</v>
      </c>
    </row>
    <row r="23" spans="1:13" ht="13.8" x14ac:dyDescent="0.25">
      <c r="A23" s="7" t="s">
        <v>53</v>
      </c>
      <c r="E23" s="8" t="s">
        <v>54</v>
      </c>
      <c r="F23" s="8" t="s">
        <v>55</v>
      </c>
    </row>
    <row r="24" spans="1:13" x14ac:dyDescent="0.25">
      <c r="A24" s="9" t="s">
        <v>56</v>
      </c>
      <c r="B24" s="15">
        <f>COUNT(M15:M19)</f>
        <v>5</v>
      </c>
      <c r="E24" s="16">
        <v>0</v>
      </c>
      <c r="F24" s="9" t="s">
        <v>57</v>
      </c>
    </row>
    <row r="25" spans="1:13" ht="15.6" x14ac:dyDescent="0.3">
      <c r="A25" s="17" t="s">
        <v>58</v>
      </c>
      <c r="B25" s="18">
        <f>AVERAGE(M15:M19)</f>
        <v>77.5</v>
      </c>
      <c r="E25" s="16">
        <v>25</v>
      </c>
      <c r="F25" s="9" t="s">
        <v>59</v>
      </c>
    </row>
    <row r="26" spans="1:13" x14ac:dyDescent="0.25">
      <c r="A26" s="9" t="s">
        <v>60</v>
      </c>
      <c r="B26" s="19">
        <f>MEDIAN(M15:M19)</f>
        <v>92.5</v>
      </c>
      <c r="E26" s="16">
        <v>39</v>
      </c>
      <c r="F26" s="9" t="s">
        <v>61</v>
      </c>
    </row>
    <row r="27" spans="1:13" x14ac:dyDescent="0.25">
      <c r="A27" s="9" t="s">
        <v>62</v>
      </c>
      <c r="B27" s="19">
        <f>MIN(M15:M19)</f>
        <v>32.5</v>
      </c>
      <c r="E27" s="16">
        <v>52</v>
      </c>
      <c r="F27" s="9" t="s">
        <v>63</v>
      </c>
    </row>
    <row r="28" spans="1:13" x14ac:dyDescent="0.25">
      <c r="A28" s="9" t="s">
        <v>64</v>
      </c>
      <c r="B28" s="19">
        <f>MAX(M15:M19)</f>
        <v>97.5</v>
      </c>
      <c r="E28" s="16">
        <v>73</v>
      </c>
      <c r="F28" s="9" t="s">
        <v>65</v>
      </c>
    </row>
    <row r="29" spans="1:13" x14ac:dyDescent="0.25">
      <c r="A29" s="9" t="s">
        <v>66</v>
      </c>
      <c r="B29" s="19">
        <f>IF(B24&gt;1,STDEV(M15:M19),"n/a")</f>
        <v>27.443123000125187</v>
      </c>
      <c r="E29" s="16">
        <v>85</v>
      </c>
      <c r="F29" s="9" t="s">
        <v>67</v>
      </c>
    </row>
    <row r="30" spans="1:13" x14ac:dyDescent="0.25">
      <c r="A30" s="9" t="s">
        <v>68</v>
      </c>
      <c r="B30" s="20" t="str">
        <f>INDEX($F$24:$F$29,MATCH(B25,$E$24:$E$29,1))</f>
        <v>Excelente</v>
      </c>
      <c r="E30" s="6" t="s">
        <v>69</v>
      </c>
    </row>
    <row r="31" spans="1:13" x14ac:dyDescent="0.25">
      <c r="A31" s="9" t="s">
        <v>70</v>
      </c>
      <c r="B31" s="21">
        <f>B34</f>
        <v>68</v>
      </c>
    </row>
    <row r="32" spans="1:13" x14ac:dyDescent="0.25">
      <c r="A32" s="9" t="s">
        <v>71</v>
      </c>
      <c r="B32" s="22" t="str">
        <f>IF(B25&gt;=B34,"Por encima","Por debajo")&amp;" de la referencia ("&amp;TEXT(B25-B34,"+0.0;-0.0")&amp;" puntos)"</f>
        <v>Por encima de la referencia (+10 puntos)</v>
      </c>
    </row>
    <row r="33" spans="1:3" x14ac:dyDescent="0.25">
      <c r="A33" s="9" t="s">
        <v>72</v>
      </c>
      <c r="B33" s="16">
        <v>2.5</v>
      </c>
    </row>
    <row r="34" spans="1:3" x14ac:dyDescent="0.25">
      <c r="A34" s="9" t="s">
        <v>73</v>
      </c>
      <c r="B34" s="16">
        <v>68</v>
      </c>
      <c r="C34" s="6" t="s">
        <v>74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Respuestas de formulario 1</vt:lpstr>
      <vt:lpstr>Cálculo 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2026-10-12T22:03:00Z</dcterms:created>
  <dcterms:modified xsi:type="dcterms:W3CDTF">2026-10-12T22:04:42Z</dcterms:modified>
  <dc:language>en-US</dc:language>
</cp:coreProperties>
</file>